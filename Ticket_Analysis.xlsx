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ta_Analyst_Assignment1\Spreadsheets\"/>
    </mc:Choice>
  </mc:AlternateContent>
  <xr:revisionPtr revIDLastSave="0" documentId="8_{C019D13F-E553-49A7-9851-35BD38A30898}" xr6:coauthVersionLast="47" xr6:coauthVersionMax="47" xr10:uidLastSave="{00000000-0000-0000-0000-000000000000}"/>
  <bookViews>
    <workbookView xWindow="-120" yWindow="-120" windowWidth="20730" windowHeight="11040" xr2:uid="{A8174DBB-EBB3-47C5-BAA3-457698C7F5FE}"/>
  </bookViews>
  <sheets>
    <sheet name="Sheet3" sheetId="3" r:id="rId1"/>
    <sheet name="ticket" sheetId="1" r:id="rId2"/>
    <sheet name="feedbacks" sheetId="2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2" i="1"/>
  <c r="F4" i="1"/>
  <c r="F3" i="1"/>
  <c r="F2" i="1"/>
  <c r="D3" i="2"/>
  <c r="D2" i="2"/>
</calcChain>
</file>

<file path=xl/sharedStrings.xml><?xml version="1.0" encoding="utf-8"?>
<sst xmlns="http://schemas.openxmlformats.org/spreadsheetml/2006/main" count="29" uniqueCount="23">
  <si>
    <t xml:space="preserve">ticket_id </t>
  </si>
  <si>
    <t xml:space="preserve">created_at </t>
  </si>
  <si>
    <t xml:space="preserve">closed_at </t>
  </si>
  <si>
    <t xml:space="preserve">outlet_id </t>
  </si>
  <si>
    <t>cms_id</t>
  </si>
  <si>
    <t xml:space="preserve">feedback_at </t>
  </si>
  <si>
    <t xml:space="preserve">feedback_rating </t>
  </si>
  <si>
    <t>ticket_created_at</t>
  </si>
  <si>
    <t>t1</t>
  </si>
  <si>
    <t>t2</t>
  </si>
  <si>
    <t>t3</t>
  </si>
  <si>
    <t>o1</t>
  </si>
  <si>
    <t>o2</t>
  </si>
  <si>
    <t>o3</t>
  </si>
  <si>
    <t>c1</t>
  </si>
  <si>
    <t>c2</t>
  </si>
  <si>
    <t>c3</t>
  </si>
  <si>
    <t>same_day</t>
  </si>
  <si>
    <t>same_hour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</si>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</sst>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1.580274884262" createdVersion="7" refreshedVersion="7" minRefreshableVersion="3" recordCount="3" xr:uid="{55D22FE1-DB6A-4AB6-B2C2-458143D1A446}">
  <cacheSource type="worksheet">
    <worksheetSource ref="A1:G4" sheet="ticket"/>
  </cacheSource>
  <cacheFields count="7">
    <cacheField name="ticket_id " numFmtId="0">
      <sharedItems/>
    </cacheField>
    <cacheField name="created_at " numFmtId="169">
      <sharedItems containsSemiMixedTypes="0" containsNonDate="0" containsDate="1" containsString="0" minDate="2021-08-21T10:00:00" maxDate="2021-08-21T14:00:00"/>
    </cacheField>
    <cacheField name="closed_at " numFmtId="22">
      <sharedItems containsSemiMixedTypes="0" containsNonDate="0" containsDate="1" containsString="0" minDate="2021-08-21T11:00:00" maxDate="2021-08-21T14:00:00"/>
    </cacheField>
    <cacheField name="outlet_id " numFmtId="0">
      <sharedItems count="3">
        <s v="o1"/>
        <s v="o2"/>
        <s v="o3"/>
      </sharedItems>
    </cacheField>
    <cacheField name="cms_id" numFmtId="0">
      <sharedItems/>
    </cacheField>
    <cacheField name="same_day" numFmtId="0">
      <sharedItems containsSemiMixedTypes="0" containsString="0" containsNumber="1" containsInteger="1" minValue="1" maxValue="1"/>
    </cacheField>
    <cacheField name="same_hou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t1"/>
    <d v="2021-08-21T10:00:00"/>
    <d v="2021-08-21T11:00:00"/>
    <x v="0"/>
    <s v="c1"/>
    <n v="1"/>
    <n v="0"/>
  </r>
  <r>
    <s v="t2"/>
    <d v="2021-08-21T12:00:00"/>
    <d v="2021-08-21T12:00:00"/>
    <x v="1"/>
    <s v="c2"/>
    <n v="1"/>
    <n v="1"/>
  </r>
  <r>
    <s v="t3"/>
    <d v="2021-08-21T14:00:00"/>
    <d v="2021-08-21T14:00:00"/>
    <x v="2"/>
    <s v="c3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795D6-41E9-4258-90CD-3DBABDAC25AD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7">
    <pivotField showAll="0"/>
    <pivotField numFmtId="169" showAll="0"/>
    <pivotField numFmtId="22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5" baseField="0" baseItem="0"/>
    <dataField name="Sum of same_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3DE6-43F6-4A06-9047-67D3D8D9020F}">
  <dimension ref="A3:C7"/>
  <sheetViews>
    <sheetView tabSelected="1" workbookViewId="0">
      <selection activeCell="E9" sqref="E9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7.7109375" bestFit="1" customWidth="1"/>
  </cols>
  <sheetData>
    <row r="3" spans="1:3" x14ac:dyDescent="0.25">
      <c r="A3" s="3" t="s">
        <v>19</v>
      </c>
      <c r="B3" t="s">
        <v>21</v>
      </c>
      <c r="C3" t="s">
        <v>22</v>
      </c>
    </row>
    <row r="4" spans="1:3" x14ac:dyDescent="0.25">
      <c r="A4" s="4" t="s">
        <v>11</v>
      </c>
      <c r="B4" s="5">
        <v>1</v>
      </c>
      <c r="C4" s="5">
        <v>0</v>
      </c>
    </row>
    <row r="5" spans="1:3" x14ac:dyDescent="0.25">
      <c r="A5" s="4" t="s">
        <v>12</v>
      </c>
      <c r="B5" s="5">
        <v>1</v>
      </c>
      <c r="C5" s="5">
        <v>1</v>
      </c>
    </row>
    <row r="6" spans="1:3" x14ac:dyDescent="0.25">
      <c r="A6" s="4" t="s">
        <v>13</v>
      </c>
      <c r="B6" s="5">
        <v>1</v>
      </c>
      <c r="C6" s="5">
        <v>1</v>
      </c>
    </row>
    <row r="7" spans="1:3" x14ac:dyDescent="0.25">
      <c r="A7" s="4" t="s">
        <v>20</v>
      </c>
      <c r="B7" s="5">
        <v>3</v>
      </c>
      <c r="C7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D886-EC90-4016-8883-FB036BEB9996}">
  <dimension ref="A1:G4"/>
  <sheetViews>
    <sheetView workbookViewId="0">
      <selection sqref="A1:G4"/>
    </sheetView>
  </sheetViews>
  <sheetFormatPr defaultRowHeight="15" x14ac:dyDescent="0.25"/>
  <cols>
    <col min="2" max="2" width="18.5703125" bestFit="1" customWidth="1"/>
    <col min="3" max="3" width="15.85546875" bestFit="1" customWidth="1"/>
    <col min="4" max="4" width="9.5703125" bestFit="1" customWidth="1"/>
    <col min="5" max="5" width="7.140625" bestFit="1" customWidth="1"/>
    <col min="6" max="6" width="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25">
      <c r="A2" t="s">
        <v>8</v>
      </c>
      <c r="B2" s="2">
        <v>44429.416666666664</v>
      </c>
      <c r="C2" s="1">
        <v>44429.458333333336</v>
      </c>
      <c r="D2" t="s">
        <v>11</v>
      </c>
      <c r="E2" t="s">
        <v>14</v>
      </c>
      <c r="F2">
        <f>IF(INT(B2)=INT(C2),1,0)</f>
        <v>1</v>
      </c>
      <c r="G2">
        <f>IF(AND(INT(B2)=INT(C2),HOUR(B2)=HOUR(C2)),1,0)</f>
        <v>0</v>
      </c>
    </row>
    <row r="3" spans="1:7" x14ac:dyDescent="0.25">
      <c r="A3" t="s">
        <v>9</v>
      </c>
      <c r="B3" s="2">
        <v>44429.5</v>
      </c>
      <c r="C3" s="1">
        <v>44429.5</v>
      </c>
      <c r="D3" t="s">
        <v>12</v>
      </c>
      <c r="E3" t="s">
        <v>15</v>
      </c>
      <c r="F3">
        <f>IF(INT(B3)=INT(C3),1,0)</f>
        <v>1</v>
      </c>
      <c r="G3">
        <f t="shared" ref="G3:G4" si="0">IF(AND(INT(B3)=INT(C3),HOUR(B3)=HOUR(C3)),1,0)</f>
        <v>1</v>
      </c>
    </row>
    <row r="4" spans="1:7" x14ac:dyDescent="0.25">
      <c r="A4" t="s">
        <v>10</v>
      </c>
      <c r="B4" s="2">
        <v>44429.583333333336</v>
      </c>
      <c r="C4" s="1">
        <v>44429.583333333336</v>
      </c>
      <c r="D4" t="s">
        <v>13</v>
      </c>
      <c r="E4" t="s">
        <v>16</v>
      </c>
      <c r="F4">
        <f>IF(INT(B4)=INT(C4),1,0)</f>
        <v>1</v>
      </c>
      <c r="G4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44AC-7EF9-436B-A11B-DE6EEF14C0B6}">
  <dimension ref="A1:D3"/>
  <sheetViews>
    <sheetView workbookViewId="0">
      <selection activeCell="E3" sqref="E3"/>
    </sheetView>
  </sheetViews>
  <sheetFormatPr defaultRowHeight="15" x14ac:dyDescent="0.25"/>
  <cols>
    <col min="1" max="1" width="7.140625" bestFit="1" customWidth="1"/>
    <col min="2" max="2" width="18.5703125" bestFit="1" customWidth="1"/>
    <col min="3" max="3" width="15.85546875" bestFit="1" customWidth="1"/>
    <col min="4" max="4" width="18.5703125" style="2" bestFit="1" customWidth="1"/>
    <col min="5" max="5" width="9.85546875" bestFit="1" customWidth="1"/>
    <col min="6" max="6" width="10.85546875" bestFit="1" customWidth="1"/>
  </cols>
  <sheetData>
    <row r="1" spans="1:4" x14ac:dyDescent="0.25">
      <c r="A1" t="s">
        <v>4</v>
      </c>
      <c r="B1" t="s">
        <v>5</v>
      </c>
      <c r="C1" t="s">
        <v>6</v>
      </c>
      <c r="D1" s="2" t="s">
        <v>7</v>
      </c>
    </row>
    <row r="2" spans="1:4" x14ac:dyDescent="0.25">
      <c r="A2" t="s">
        <v>14</v>
      </c>
      <c r="B2" s="2">
        <v>44429.5</v>
      </c>
      <c r="C2">
        <v>4</v>
      </c>
      <c r="D2" s="2">
        <f>_xlfn.XLOOKUP(A2, ticket!E:E, ticket!B:B)</f>
        <v>44429.416666666664</v>
      </c>
    </row>
    <row r="3" spans="1:4" x14ac:dyDescent="0.25">
      <c r="A3" t="s">
        <v>15</v>
      </c>
      <c r="B3" s="2">
        <v>44430.541666666664</v>
      </c>
      <c r="C3">
        <v>3</v>
      </c>
      <c r="D3" s="2">
        <f>_xlfn.XLOOKUP(A3, ticket!E:E, ticket!B:B)</f>
        <v>44429.5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Polasa Lavakusha</dc:creator>
  <cp:lastModifiedBy>Polasa Lavakusha</cp:lastModifiedBy>
  <dcterms:created xsi:type="dcterms:W3CDTF">2026-04-09T07:36:10Z</dcterms:created>
  <dcterms:modified xsi:type="dcterms:W3CDTF">2026-04-09T08:49:36Z</dcterms:modified>
</cp:coreProperties>
</file>